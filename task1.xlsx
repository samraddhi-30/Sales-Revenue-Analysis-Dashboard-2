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6a3e6a9ed91e02/Desktop/Sales-Revenue-Analysis-Dashboard/data/"/>
    </mc:Choice>
  </mc:AlternateContent>
  <xr:revisionPtr revIDLastSave="32" documentId="8_{EEA2D5C0-369D-4F5D-B6A2-6E63060C7045}" xr6:coauthVersionLast="47" xr6:coauthVersionMax="47" xr10:uidLastSave="{D419B3F4-96D0-466D-9E67-1ED4F7A75635}"/>
  <bookViews>
    <workbookView xWindow="12" yWindow="0" windowWidth="19536" windowHeight="12336" xr2:uid="{76ACE58D-DCCD-479F-B730-D79C92074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3" i="1"/>
  <c r="N14" i="1"/>
  <c r="N15" i="1"/>
  <c r="N16" i="1"/>
  <c r="N17" i="1"/>
  <c r="N18" i="1"/>
  <c r="N19" i="1"/>
  <c r="N20" i="1"/>
  <c r="N21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10" i="1"/>
  <c r="L11" i="1"/>
  <c r="L12" i="1"/>
  <c r="L14" i="1"/>
  <c r="L16" i="1"/>
  <c r="L17" i="1"/>
  <c r="L18" i="1"/>
  <c r="L21" i="1"/>
  <c r="L2" i="1"/>
  <c r="K19" i="1"/>
  <c r="L19" i="1" s="1"/>
  <c r="K20" i="1"/>
  <c r="L20" i="1" s="1"/>
  <c r="K21" i="1"/>
  <c r="K15" i="1"/>
  <c r="L15" i="1" s="1"/>
  <c r="K16" i="1"/>
  <c r="K17" i="1"/>
  <c r="K18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K11" i="1"/>
  <c r="K12" i="1"/>
  <c r="K13" i="1"/>
  <c r="L13" i="1" s="1"/>
  <c r="K14" i="1"/>
  <c r="K2" i="1"/>
</calcChain>
</file>

<file path=xl/sharedStrings.xml><?xml version="1.0" encoding="utf-8"?>
<sst xmlns="http://schemas.openxmlformats.org/spreadsheetml/2006/main" count="114" uniqueCount="77">
  <si>
    <t>Order ID</t>
  </si>
  <si>
    <t>Order Date</t>
  </si>
  <si>
    <t>Customer Name</t>
  </si>
  <si>
    <t>Product</t>
  </si>
  <si>
    <t>Category</t>
  </si>
  <si>
    <t>Region</t>
  </si>
  <si>
    <t>Quantity</t>
  </si>
  <si>
    <t>Unit Price</t>
  </si>
  <si>
    <t>Sales</t>
  </si>
  <si>
    <t>Profit</t>
  </si>
  <si>
    <t>ORD001</t>
  </si>
  <si>
    <t>John Smith</t>
  </si>
  <si>
    <t>Laptop</t>
  </si>
  <si>
    <t>Electronics</t>
  </si>
  <si>
    <t>North</t>
  </si>
  <si>
    <t>ORD002</t>
  </si>
  <si>
    <t>Emma Johnson</t>
  </si>
  <si>
    <t>Office Chair</t>
  </si>
  <si>
    <t>Furniture</t>
  </si>
  <si>
    <t>South</t>
  </si>
  <si>
    <t>ORD003</t>
  </si>
  <si>
    <t>Liam Brown</t>
  </si>
  <si>
    <t>Printer</t>
  </si>
  <si>
    <t>Office Supplies</t>
  </si>
  <si>
    <t>East</t>
  </si>
  <si>
    <t>ORD004</t>
  </si>
  <si>
    <t>Olivia Davis</t>
  </si>
  <si>
    <t>Smartphone</t>
  </si>
  <si>
    <t>West</t>
  </si>
  <si>
    <t>ORD005</t>
  </si>
  <si>
    <t>Noah Wilson</t>
  </si>
  <si>
    <t>Desk</t>
  </si>
  <si>
    <t>ORD006</t>
  </si>
  <si>
    <t>Sophia Miller</t>
  </si>
  <si>
    <t>Monitor</t>
  </si>
  <si>
    <t>ORD007</t>
  </si>
  <si>
    <t>James Moore</t>
  </si>
  <si>
    <t>Notebook Pack</t>
  </si>
  <si>
    <t>ORD008</t>
  </si>
  <si>
    <t>Isabella Taylor</t>
  </si>
  <si>
    <t>Tablet</t>
  </si>
  <si>
    <t>ORD009</t>
  </si>
  <si>
    <t>Benjamin Anderson</t>
  </si>
  <si>
    <t>Bookshelf</t>
  </si>
  <si>
    <t>ORD010</t>
  </si>
  <si>
    <t>Mia Thomas</t>
  </si>
  <si>
    <t>Keyboard</t>
  </si>
  <si>
    <t>ORD011</t>
  </si>
  <si>
    <t>Lucas Jackson</t>
  </si>
  <si>
    <t>Mouse</t>
  </si>
  <si>
    <t>ORD012</t>
  </si>
  <si>
    <t>Charlotte White</t>
  </si>
  <si>
    <t>Filing Cabinet</t>
  </si>
  <si>
    <t>ORD013</t>
  </si>
  <si>
    <t>Henry Harris</t>
  </si>
  <si>
    <t>Projector</t>
  </si>
  <si>
    <t>ORD014</t>
  </si>
  <si>
    <t>Amelia Martin</t>
  </si>
  <si>
    <t>Whiteboard</t>
  </si>
  <si>
    <t>ORD015</t>
  </si>
  <si>
    <t>Daniel Thompson</t>
  </si>
  <si>
    <t>ORD016</t>
  </si>
  <si>
    <t>Evelyn Garcia</t>
  </si>
  <si>
    <t>Office Desk</t>
  </si>
  <si>
    <t>ORD017</t>
  </si>
  <si>
    <t>Michael Martinez</t>
  </si>
  <si>
    <t>Pen Set</t>
  </si>
  <si>
    <t>ORD018</t>
  </si>
  <si>
    <t>Harper Robinson</t>
  </si>
  <si>
    <t>ORD019</t>
  </si>
  <si>
    <t>Ethan Clark</t>
  </si>
  <si>
    <t>ORD020</t>
  </si>
  <si>
    <t>Abigail Rodriguez</t>
  </si>
  <si>
    <t>Revenue</t>
  </si>
  <si>
    <t>Profit Margin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</si>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</sst>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4DB8-24DF-4EBB-BAB0-01649D042996}">
  <dimension ref="A1:N21"/>
  <sheetViews>
    <sheetView tabSelected="1" topLeftCell="B1" workbookViewId="0">
      <selection activeCell="P15" sqref="P15"/>
    </sheetView>
  </sheetViews>
  <sheetFormatPr defaultRowHeight="14.4" x14ac:dyDescent="0.3"/>
  <cols>
    <col min="1" max="1" width="7.88671875" bestFit="1" customWidth="1"/>
    <col min="2" max="2" width="12" customWidth="1"/>
    <col min="3" max="3" width="21" customWidth="1"/>
    <col min="4" max="4" width="17.6640625" customWidth="1"/>
    <col min="5" max="5" width="20.77734375" customWidth="1"/>
    <col min="6" max="6" width="8.33203125" customWidth="1"/>
    <col min="7" max="7" width="8.77734375" customWidth="1"/>
    <col min="8" max="8" width="11.109375" customWidth="1"/>
    <col min="9" max="10" width="5.5546875" bestFit="1" customWidth="1"/>
    <col min="12" max="12" width="14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73</v>
      </c>
      <c r="L1" s="3" t="s">
        <v>74</v>
      </c>
      <c r="M1" s="3" t="s">
        <v>75</v>
      </c>
      <c r="N1" s="3" t="s">
        <v>76</v>
      </c>
    </row>
    <row r="2" spans="1:14" x14ac:dyDescent="0.3">
      <c r="A2" s="4" t="s">
        <v>10</v>
      </c>
      <c r="B2" s="5">
        <v>45658</v>
      </c>
      <c r="C2" s="4" t="s">
        <v>11</v>
      </c>
      <c r="D2" s="4" t="s">
        <v>12</v>
      </c>
      <c r="E2" s="4" t="s">
        <v>13</v>
      </c>
      <c r="F2" s="4" t="s">
        <v>14</v>
      </c>
      <c r="G2" s="2">
        <v>2</v>
      </c>
      <c r="H2" s="2">
        <v>800</v>
      </c>
      <c r="I2" s="2">
        <v>1600</v>
      </c>
      <c r="J2" s="2">
        <v>320</v>
      </c>
      <c r="K2">
        <f>G2*H2</f>
        <v>1600</v>
      </c>
      <c r="L2">
        <f>J2/K2</f>
        <v>0.2</v>
      </c>
      <c r="M2">
        <f>MONTH(B2)</f>
        <v>1</v>
      </c>
      <c r="N2">
        <f>YEAR(B2)</f>
        <v>2025</v>
      </c>
    </row>
    <row r="3" spans="1:14" x14ac:dyDescent="0.3">
      <c r="A3" s="4" t="s">
        <v>15</v>
      </c>
      <c r="B3" s="5">
        <v>45659</v>
      </c>
      <c r="C3" s="4" t="s">
        <v>16</v>
      </c>
      <c r="D3" s="4" t="s">
        <v>17</v>
      </c>
      <c r="E3" s="4" t="s">
        <v>18</v>
      </c>
      <c r="F3" s="4" t="s">
        <v>19</v>
      </c>
      <c r="G3" s="2">
        <v>4</v>
      </c>
      <c r="H3" s="2">
        <v>120</v>
      </c>
      <c r="I3" s="2">
        <v>480</v>
      </c>
      <c r="J3" s="2">
        <v>96</v>
      </c>
      <c r="K3">
        <f t="shared" ref="K3:K21" si="0">G3*H3</f>
        <v>480</v>
      </c>
      <c r="L3">
        <f t="shared" ref="L3:L21" si="1">J3/K3</f>
        <v>0.2</v>
      </c>
      <c r="M3">
        <f t="shared" ref="M3:M12" si="2">MONTH(B3)</f>
        <v>1</v>
      </c>
      <c r="N3">
        <f>YEAR(B3)</f>
        <v>2025</v>
      </c>
    </row>
    <row r="4" spans="1:14" ht="28.8" x14ac:dyDescent="0.3">
      <c r="A4" s="4" t="s">
        <v>20</v>
      </c>
      <c r="B4" s="5">
        <v>45660</v>
      </c>
      <c r="C4" s="4" t="s">
        <v>21</v>
      </c>
      <c r="D4" s="4" t="s">
        <v>22</v>
      </c>
      <c r="E4" s="4" t="s">
        <v>23</v>
      </c>
      <c r="F4" s="4" t="s">
        <v>24</v>
      </c>
      <c r="G4" s="2">
        <v>3</v>
      </c>
      <c r="H4" s="2">
        <v>250</v>
      </c>
      <c r="I4" s="2">
        <v>750</v>
      </c>
      <c r="J4" s="2">
        <v>150</v>
      </c>
      <c r="K4">
        <f t="shared" si="0"/>
        <v>750</v>
      </c>
      <c r="L4">
        <f t="shared" si="1"/>
        <v>0.2</v>
      </c>
      <c r="M4">
        <f t="shared" si="2"/>
        <v>1</v>
      </c>
      <c r="N4">
        <f>YEAR(B4)</f>
        <v>2025</v>
      </c>
    </row>
    <row r="5" spans="1:14" ht="28.8" x14ac:dyDescent="0.3">
      <c r="A5" s="4" t="s">
        <v>25</v>
      </c>
      <c r="B5" s="5">
        <v>45661</v>
      </c>
      <c r="C5" s="4" t="s">
        <v>26</v>
      </c>
      <c r="D5" s="4" t="s">
        <v>27</v>
      </c>
      <c r="E5" s="4" t="s">
        <v>13</v>
      </c>
      <c r="F5" s="4" t="s">
        <v>28</v>
      </c>
      <c r="G5" s="2">
        <v>5</v>
      </c>
      <c r="H5" s="2">
        <v>600</v>
      </c>
      <c r="I5" s="2">
        <v>3000</v>
      </c>
      <c r="J5" s="2">
        <v>750</v>
      </c>
      <c r="K5">
        <f t="shared" si="0"/>
        <v>3000</v>
      </c>
      <c r="L5">
        <f t="shared" si="1"/>
        <v>0.25</v>
      </c>
      <c r="M5">
        <f t="shared" si="2"/>
        <v>1</v>
      </c>
      <c r="N5">
        <f>YEAR(B5)</f>
        <v>2025</v>
      </c>
    </row>
    <row r="6" spans="1:14" x14ac:dyDescent="0.3">
      <c r="A6" s="4" t="s">
        <v>29</v>
      </c>
      <c r="B6" s="5">
        <v>45662</v>
      </c>
      <c r="C6" s="4" t="s">
        <v>30</v>
      </c>
      <c r="D6" s="4" t="s">
        <v>31</v>
      </c>
      <c r="E6" s="4" t="s">
        <v>18</v>
      </c>
      <c r="F6" s="4" t="s">
        <v>14</v>
      </c>
      <c r="G6" s="2">
        <v>2</v>
      </c>
      <c r="H6" s="2">
        <v>300</v>
      </c>
      <c r="I6" s="2">
        <v>600</v>
      </c>
      <c r="J6" s="2">
        <v>120</v>
      </c>
      <c r="K6">
        <f t="shared" si="0"/>
        <v>600</v>
      </c>
      <c r="L6">
        <f t="shared" si="1"/>
        <v>0.2</v>
      </c>
      <c r="M6">
        <f t="shared" si="2"/>
        <v>1</v>
      </c>
      <c r="N6">
        <f>YEAR(B6)</f>
        <v>2025</v>
      </c>
    </row>
    <row r="7" spans="1:14" x14ac:dyDescent="0.3">
      <c r="A7" s="4" t="s">
        <v>32</v>
      </c>
      <c r="B7" s="5">
        <v>45663</v>
      </c>
      <c r="C7" s="4" t="s">
        <v>33</v>
      </c>
      <c r="D7" s="4" t="s">
        <v>34</v>
      </c>
      <c r="E7" s="4" t="s">
        <v>13</v>
      </c>
      <c r="F7" s="4" t="s">
        <v>24</v>
      </c>
      <c r="G7" s="2">
        <v>6</v>
      </c>
      <c r="H7" s="2">
        <v>200</v>
      </c>
      <c r="I7" s="2">
        <v>1200</v>
      </c>
      <c r="J7" s="2">
        <v>240</v>
      </c>
      <c r="K7">
        <f t="shared" si="0"/>
        <v>1200</v>
      </c>
      <c r="L7">
        <f t="shared" si="1"/>
        <v>0.2</v>
      </c>
      <c r="M7">
        <f t="shared" si="2"/>
        <v>1</v>
      </c>
      <c r="N7">
        <f>YEAR(B7)</f>
        <v>2025</v>
      </c>
    </row>
    <row r="8" spans="1:14" ht="28.8" x14ac:dyDescent="0.3">
      <c r="A8" s="4" t="s">
        <v>35</v>
      </c>
      <c r="B8" s="5">
        <v>45664</v>
      </c>
      <c r="C8" s="4" t="s">
        <v>36</v>
      </c>
      <c r="D8" s="4" t="s">
        <v>37</v>
      </c>
      <c r="E8" s="4" t="s">
        <v>23</v>
      </c>
      <c r="F8" s="4" t="s">
        <v>19</v>
      </c>
      <c r="G8" s="2">
        <v>10</v>
      </c>
      <c r="H8" s="2">
        <v>15</v>
      </c>
      <c r="I8" s="2">
        <v>150</v>
      </c>
      <c r="J8" s="2">
        <v>45</v>
      </c>
      <c r="K8">
        <f t="shared" si="0"/>
        <v>150</v>
      </c>
      <c r="L8">
        <f t="shared" si="1"/>
        <v>0.3</v>
      </c>
      <c r="M8">
        <f t="shared" si="2"/>
        <v>1</v>
      </c>
      <c r="N8">
        <f>YEAR(B8)</f>
        <v>2025</v>
      </c>
    </row>
    <row r="9" spans="1:14" x14ac:dyDescent="0.3">
      <c r="A9" s="4" t="s">
        <v>38</v>
      </c>
      <c r="B9" s="5">
        <v>45665</v>
      </c>
      <c r="C9" s="4" t="s">
        <v>39</v>
      </c>
      <c r="D9" s="4" t="s">
        <v>40</v>
      </c>
      <c r="E9" s="4" t="s">
        <v>13</v>
      </c>
      <c r="F9" s="4" t="s">
        <v>28</v>
      </c>
      <c r="G9" s="2">
        <v>3</v>
      </c>
      <c r="H9" s="2">
        <v>450</v>
      </c>
      <c r="I9" s="2">
        <v>1350</v>
      </c>
      <c r="J9" s="2">
        <v>270</v>
      </c>
      <c r="K9">
        <f t="shared" si="0"/>
        <v>1350</v>
      </c>
      <c r="L9">
        <f t="shared" si="1"/>
        <v>0.2</v>
      </c>
      <c r="M9">
        <f t="shared" si="2"/>
        <v>1</v>
      </c>
      <c r="N9">
        <f>YEAR(B9)</f>
        <v>2025</v>
      </c>
    </row>
    <row r="10" spans="1:14" x14ac:dyDescent="0.3">
      <c r="A10" s="4" t="s">
        <v>41</v>
      </c>
      <c r="B10" s="5">
        <v>45666</v>
      </c>
      <c r="C10" s="4" t="s">
        <v>42</v>
      </c>
      <c r="D10" s="4" t="s">
        <v>43</v>
      </c>
      <c r="E10" s="4" t="s">
        <v>18</v>
      </c>
      <c r="F10" s="4" t="s">
        <v>24</v>
      </c>
      <c r="G10" s="2">
        <v>2</v>
      </c>
      <c r="H10" s="2">
        <v>180</v>
      </c>
      <c r="I10" s="2">
        <v>360</v>
      </c>
      <c r="J10" s="2">
        <v>72</v>
      </c>
      <c r="K10">
        <f t="shared" si="0"/>
        <v>360</v>
      </c>
      <c r="L10">
        <f t="shared" si="1"/>
        <v>0.2</v>
      </c>
      <c r="M10">
        <f t="shared" si="2"/>
        <v>1</v>
      </c>
      <c r="N10">
        <f>YEAR(B10)</f>
        <v>2025</v>
      </c>
    </row>
    <row r="11" spans="1:14" x14ac:dyDescent="0.3">
      <c r="A11" s="4" t="s">
        <v>44</v>
      </c>
      <c r="B11" s="5">
        <v>45667</v>
      </c>
      <c r="C11" s="4" t="s">
        <v>45</v>
      </c>
      <c r="D11" s="4" t="s">
        <v>46</v>
      </c>
      <c r="E11" s="4" t="s">
        <v>13</v>
      </c>
      <c r="F11" s="4" t="s">
        <v>14</v>
      </c>
      <c r="G11" s="2">
        <v>8</v>
      </c>
      <c r="H11" s="2">
        <v>40</v>
      </c>
      <c r="I11" s="2">
        <v>320</v>
      </c>
      <c r="J11" s="2">
        <v>64</v>
      </c>
      <c r="K11">
        <f t="shared" si="0"/>
        <v>320</v>
      </c>
      <c r="L11">
        <f t="shared" si="1"/>
        <v>0.2</v>
      </c>
      <c r="M11">
        <f t="shared" si="2"/>
        <v>1</v>
      </c>
      <c r="N11">
        <f>YEAR(B11)</f>
        <v>2025</v>
      </c>
    </row>
    <row r="12" spans="1:14" x14ac:dyDescent="0.3">
      <c r="A12" s="4" t="s">
        <v>47</v>
      </c>
      <c r="B12" s="5">
        <v>45668</v>
      </c>
      <c r="C12" s="4" t="s">
        <v>48</v>
      </c>
      <c r="D12" s="4" t="s">
        <v>49</v>
      </c>
      <c r="E12" s="4" t="s">
        <v>13</v>
      </c>
      <c r="F12" s="4" t="s">
        <v>19</v>
      </c>
      <c r="G12" s="2">
        <v>12</v>
      </c>
      <c r="H12" s="2">
        <v>25</v>
      </c>
      <c r="I12" s="2">
        <v>300</v>
      </c>
      <c r="J12" s="2">
        <v>75</v>
      </c>
      <c r="K12">
        <f t="shared" si="0"/>
        <v>300</v>
      </c>
      <c r="L12">
        <f t="shared" si="1"/>
        <v>0.25</v>
      </c>
      <c r="M12">
        <f t="shared" si="2"/>
        <v>1</v>
      </c>
      <c r="N12">
        <f t="shared" ref="N12:N22" si="3">YEAR(B12)</f>
        <v>2025</v>
      </c>
    </row>
    <row r="13" spans="1:14" ht="28.8" x14ac:dyDescent="0.3">
      <c r="A13" s="4" t="s">
        <v>50</v>
      </c>
      <c r="B13" s="5">
        <v>45669</v>
      </c>
      <c r="C13" s="4" t="s">
        <v>51</v>
      </c>
      <c r="D13" s="4" t="s">
        <v>52</v>
      </c>
      <c r="E13" s="4" t="s">
        <v>18</v>
      </c>
      <c r="F13" s="4" t="s">
        <v>28</v>
      </c>
      <c r="G13" s="2">
        <v>1</v>
      </c>
      <c r="H13" s="2">
        <v>400</v>
      </c>
      <c r="I13" s="2">
        <v>400</v>
      </c>
      <c r="J13" s="2">
        <v>80</v>
      </c>
      <c r="K13">
        <f t="shared" si="0"/>
        <v>400</v>
      </c>
      <c r="L13">
        <f t="shared" si="1"/>
        <v>0.2</v>
      </c>
      <c r="M13">
        <f t="shared" ref="M13:M21" si="4">MONTH(B13)</f>
        <v>1</v>
      </c>
      <c r="N13">
        <f t="shared" si="3"/>
        <v>2025</v>
      </c>
    </row>
    <row r="14" spans="1:14" x14ac:dyDescent="0.3">
      <c r="A14" s="4" t="s">
        <v>53</v>
      </c>
      <c r="B14" s="5">
        <v>45670</v>
      </c>
      <c r="C14" s="4" t="s">
        <v>54</v>
      </c>
      <c r="D14" s="4" t="s">
        <v>55</v>
      </c>
      <c r="E14" s="4" t="s">
        <v>13</v>
      </c>
      <c r="F14" s="4" t="s">
        <v>24</v>
      </c>
      <c r="G14" s="2">
        <v>2</v>
      </c>
      <c r="H14" s="2">
        <v>700</v>
      </c>
      <c r="I14" s="2">
        <v>1400</v>
      </c>
      <c r="J14" s="2">
        <v>350</v>
      </c>
      <c r="K14">
        <f t="shared" si="0"/>
        <v>1400</v>
      </c>
      <c r="L14">
        <f t="shared" si="1"/>
        <v>0.25</v>
      </c>
      <c r="M14">
        <f t="shared" si="4"/>
        <v>1</v>
      </c>
      <c r="N14">
        <f t="shared" si="3"/>
        <v>2025</v>
      </c>
    </row>
    <row r="15" spans="1:14" ht="28.8" x14ac:dyDescent="0.3">
      <c r="A15" s="4" t="s">
        <v>56</v>
      </c>
      <c r="B15" s="5">
        <v>45671</v>
      </c>
      <c r="C15" s="4" t="s">
        <v>57</v>
      </c>
      <c r="D15" s="4" t="s">
        <v>58</v>
      </c>
      <c r="E15" s="4" t="s">
        <v>23</v>
      </c>
      <c r="F15" s="4" t="s">
        <v>14</v>
      </c>
      <c r="G15" s="2">
        <v>4</v>
      </c>
      <c r="H15" s="2">
        <v>90</v>
      </c>
      <c r="I15" s="2">
        <v>360</v>
      </c>
      <c r="J15" s="2">
        <v>90</v>
      </c>
      <c r="K15">
        <f>G15*H15</f>
        <v>360</v>
      </c>
      <c r="L15">
        <f t="shared" si="1"/>
        <v>0.25</v>
      </c>
      <c r="M15">
        <f t="shared" si="4"/>
        <v>1</v>
      </c>
      <c r="N15">
        <f t="shared" si="3"/>
        <v>2025</v>
      </c>
    </row>
    <row r="16" spans="1:14" x14ac:dyDescent="0.3">
      <c r="A16" s="4" t="s">
        <v>59</v>
      </c>
      <c r="B16" s="5">
        <v>45672</v>
      </c>
      <c r="C16" s="4" t="s">
        <v>60</v>
      </c>
      <c r="D16" s="4" t="s">
        <v>12</v>
      </c>
      <c r="E16" s="4" t="s">
        <v>13</v>
      </c>
      <c r="F16" s="4" t="s">
        <v>19</v>
      </c>
      <c r="G16" s="2">
        <v>1</v>
      </c>
      <c r="H16" s="2">
        <v>800</v>
      </c>
      <c r="I16" s="2">
        <v>800</v>
      </c>
      <c r="J16" s="2">
        <v>160</v>
      </c>
      <c r="K16">
        <f t="shared" si="0"/>
        <v>800</v>
      </c>
      <c r="L16">
        <f t="shared" si="1"/>
        <v>0.2</v>
      </c>
      <c r="M16">
        <f t="shared" si="4"/>
        <v>1</v>
      </c>
      <c r="N16">
        <f t="shared" si="3"/>
        <v>2025</v>
      </c>
    </row>
    <row r="17" spans="1:14" x14ac:dyDescent="0.3">
      <c r="A17" s="4" t="s">
        <v>61</v>
      </c>
      <c r="B17" s="5">
        <v>45673</v>
      </c>
      <c r="C17" s="4" t="s">
        <v>62</v>
      </c>
      <c r="D17" s="4" t="s">
        <v>63</v>
      </c>
      <c r="E17" s="4" t="s">
        <v>18</v>
      </c>
      <c r="F17" s="4" t="s">
        <v>24</v>
      </c>
      <c r="G17" s="2">
        <v>2</v>
      </c>
      <c r="H17" s="2">
        <v>350</v>
      </c>
      <c r="I17" s="2">
        <v>700</v>
      </c>
      <c r="J17" s="2">
        <v>140</v>
      </c>
      <c r="K17">
        <f t="shared" si="0"/>
        <v>700</v>
      </c>
      <c r="L17">
        <f t="shared" si="1"/>
        <v>0.2</v>
      </c>
      <c r="M17">
        <f t="shared" si="4"/>
        <v>1</v>
      </c>
      <c r="N17">
        <f t="shared" si="3"/>
        <v>2025</v>
      </c>
    </row>
    <row r="18" spans="1:14" ht="28.8" x14ac:dyDescent="0.3">
      <c r="A18" s="4" t="s">
        <v>64</v>
      </c>
      <c r="B18" s="5">
        <v>45674</v>
      </c>
      <c r="C18" s="4" t="s">
        <v>65</v>
      </c>
      <c r="D18" s="4" t="s">
        <v>66</v>
      </c>
      <c r="E18" s="4" t="s">
        <v>23</v>
      </c>
      <c r="F18" s="4" t="s">
        <v>28</v>
      </c>
      <c r="G18" s="2">
        <v>20</v>
      </c>
      <c r="H18" s="2">
        <v>8</v>
      </c>
      <c r="I18" s="2">
        <v>160</v>
      </c>
      <c r="J18" s="2">
        <v>48</v>
      </c>
      <c r="K18">
        <f t="shared" si="0"/>
        <v>160</v>
      </c>
      <c r="L18">
        <f t="shared" si="1"/>
        <v>0.3</v>
      </c>
      <c r="M18">
        <f t="shared" si="4"/>
        <v>1</v>
      </c>
      <c r="N18">
        <f t="shared" si="3"/>
        <v>2025</v>
      </c>
    </row>
    <row r="19" spans="1:14" ht="28.8" x14ac:dyDescent="0.3">
      <c r="A19" s="4" t="s">
        <v>67</v>
      </c>
      <c r="B19" s="5">
        <v>45675</v>
      </c>
      <c r="C19" s="4" t="s">
        <v>68</v>
      </c>
      <c r="D19" s="4" t="s">
        <v>27</v>
      </c>
      <c r="E19" s="4" t="s">
        <v>13</v>
      </c>
      <c r="F19" s="4" t="s">
        <v>14</v>
      </c>
      <c r="G19" s="2">
        <v>4</v>
      </c>
      <c r="H19" s="2">
        <v>600</v>
      </c>
      <c r="I19" s="2">
        <v>2400</v>
      </c>
      <c r="J19" s="2">
        <v>600</v>
      </c>
      <c r="K19">
        <f>G19*H19</f>
        <v>2400</v>
      </c>
      <c r="L19">
        <f t="shared" si="1"/>
        <v>0.25</v>
      </c>
      <c r="M19">
        <f t="shared" si="4"/>
        <v>1</v>
      </c>
      <c r="N19">
        <f t="shared" si="3"/>
        <v>2025</v>
      </c>
    </row>
    <row r="20" spans="1:14" ht="28.8" x14ac:dyDescent="0.3">
      <c r="A20" s="4" t="s">
        <v>69</v>
      </c>
      <c r="B20" s="5">
        <v>45676</v>
      </c>
      <c r="C20" s="4" t="s">
        <v>70</v>
      </c>
      <c r="D20" s="4" t="s">
        <v>22</v>
      </c>
      <c r="E20" s="4" t="s">
        <v>23</v>
      </c>
      <c r="F20" s="4" t="s">
        <v>19</v>
      </c>
      <c r="G20" s="2">
        <v>2</v>
      </c>
      <c r="H20" s="2">
        <v>250</v>
      </c>
      <c r="I20" s="2">
        <v>500</v>
      </c>
      <c r="J20" s="2">
        <v>100</v>
      </c>
      <c r="K20">
        <f t="shared" si="0"/>
        <v>500</v>
      </c>
      <c r="L20">
        <f t="shared" si="1"/>
        <v>0.2</v>
      </c>
      <c r="M20">
        <f t="shared" si="4"/>
        <v>1</v>
      </c>
      <c r="N20">
        <f t="shared" si="3"/>
        <v>2025</v>
      </c>
    </row>
    <row r="21" spans="1:14" x14ac:dyDescent="0.3">
      <c r="A21" s="4" t="s">
        <v>71</v>
      </c>
      <c r="B21" s="5">
        <v>45677</v>
      </c>
      <c r="C21" s="4" t="s">
        <v>72</v>
      </c>
      <c r="D21" s="4" t="s">
        <v>34</v>
      </c>
      <c r="E21" s="4" t="s">
        <v>13</v>
      </c>
      <c r="F21" s="4" t="s">
        <v>28</v>
      </c>
      <c r="G21" s="2">
        <v>5</v>
      </c>
      <c r="H21" s="2">
        <v>200</v>
      </c>
      <c r="I21" s="2">
        <v>1000</v>
      </c>
      <c r="J21" s="2">
        <v>200</v>
      </c>
      <c r="K21">
        <f t="shared" si="0"/>
        <v>1000</v>
      </c>
      <c r="L21">
        <f t="shared" si="1"/>
        <v>0.2</v>
      </c>
      <c r="M21">
        <f t="shared" si="4"/>
        <v>1</v>
      </c>
      <c r="N21">
        <f t="shared" si="3"/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pathaksamraddhisaurabh@outlook.com</dc:creator>
  <cp:lastModifiedBy>pathaksamraddhisaurabh@outlook.com</cp:lastModifiedBy>
  <dcterms:created xsi:type="dcterms:W3CDTF">2026-07-08T07:22:53Z</dcterms:created>
  <dcterms:modified xsi:type="dcterms:W3CDTF">2026-07-08T08:32:19Z</dcterms:modified>
</cp:coreProperties>
</file>